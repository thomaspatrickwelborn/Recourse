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UCT" sheetId="1" state="visible" r:id="rId3"/>
    <sheet name="JECT" sheetId="2" state="visible" r:id="rId4"/>
    <sheet name="JECT.A.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<sst xmlns="http://schemas.openxmlformats.org/spreadsheetml/2006/main" count="214" uniqueCount="160">
  <si>
    <t xml:space="preserve">INSTR</t>
  </si>
  <si>
    <t xml:space="preserve">Project Instructions</t>
  </si>
  <si>
    <t xml:space="preserve">Instructions</t>
  </si>
  <si>
    <t xml:space="preserve">ID</t>
  </si>
  <si>
    <t xml:space="preserve">STRID</t>
  </si>
  <si>
    <t xml:space="preserve">Name</t>
  </si>
  <si>
    <t xml:space="preserve">Description</t>
  </si>
  <si>
    <t xml:space="preserve">Grok Session</t>
  </si>
  <si>
    <t xml:space="preserve">Grok Session Exchanges are documented in `document/log/grok/` folder spreadsheets. Each exchange is documented within a session log; other session exchanges may be stored in other spreadsheets. The format and structure of these files may change thorughout project development. Each session exchange should begin with a titular name that can be used to reference the output link. Markdown output must be formatted so that it is easy to review and copy/paste within the session exchange. Serialized table data must have an ID column. Javascript code must follow style rules of omitting semi-colons from end of lines/statements; prefixing single `$` character to function definition paranthetical closures; outputting valid ES; importing paths based on examples from demonstrament and development folders; and limiting code comments throughout. </t>
  </si>
  <si>
    <t xml:space="preserve">Recourse Library</t>
  </si>
  <si>
    <t xml:space="preserve">Review the Recourse library located at https://github.com/thomaspatrickwelborn/recourse/tree/refinement. The `refinement` branch is derived from the `main` branch and intended for different types of refinement. Review the `README.md` and `document` foldersystem for details about Recourse utility and interface. Review the `/demonstrament` folder for details about Recourse tests and Recourse validation. Review the `/development` folder for details about Recourse development. Notice that `pm2` is used to invoke different applications of development and demonstrament using Digital Flux Capacitor. </t>
  </si>
  <si>
    <t xml:space="preserve">Recourse Interdependency</t>
  </si>
  <si>
    <t xml:space="preserve">Recourse is an original coutility authored by myself. Recourse is a dependency of my other libraries including Core-Plex (https://github.com/thomaspatrickwelborn/core-plex), Objecture (https://github.com/thomaspatrickwelborn/objecture), Document Process Manager (https://github.com/thomaspatrickwelborn/document-process-manager), </t>
  </si>
  <si>
    <t xml:space="preserve">Recourse Future Development</t>
  </si>
  <si>
    <t xml:space="preserve">Over time there will updates to migrate property event logic from Objecture to Recourse, but it is not necessarily the current focus of this session. </t>
  </si>
  <si>
    <t xml:space="preserve">Recourse Test Framework</t>
  </si>
  <si>
    <t xml:space="preserve">Using Document Process Manager configuration there should be a Node-based testing framework installed for this project. The implementation of the new testing framework is going to replace current examples. This project will be establish a test framework using DPM, establish some method examples, then generate all examples for all of the Recourse methods. </t>
  </si>
  <si>
    <t xml:space="preserve">JECT</t>
  </si>
  <si>
    <t xml:space="preserve">Recourse Jecture</t>
  </si>
  <si>
    <t xml:space="preserve">API Coverage &amp; Feature Completeness</t>
  </si>
  <si>
    <t xml:space="preserve">TID</t>
  </si>
  <si>
    <t xml:space="preserve">Table Name</t>
  </si>
  <si>
    <t xml:space="preserve">Rationale</t>
  </si>
  <si>
    <t xml:space="preserve">Suggested Columns</t>
  </si>
  <si>
    <t xml:space="preserve">Priority</t>
  </si>
  <si>
    <t xml:space="preserve">Current API Surface vs. Desired/Expected Deep-Access Features</t>
  </si>
  <si>
    <t xml:space="preserve">Recourse has a strong but selective set of methods (get/set/delete + pand family + introspection utils). Mapping what is covered vs. common expectations in deep-object libs helps identify gaps without breaking existing style.</t>
  </si>
  <si>
    <t xml:space="preserve">Method/Category, Exists in Recourse?, Native JS Equivalent (if any), Common in Lodash/Ramda/es-toolkit?, Proposed Addition (if gap), Demo Impact if Added, Notes</t>
  </si>
  <si>
    <t xml:space="preserve">High</t>
  </si>
  <si>
    <t xml:space="preserve">Tensor Coverage &amp; Extensibility Matrix</t>
  </si>
  <si>
    <t xml:space="preserve">Core innovation is property tensors (Object/Map primary; Array via Object; Set commented out). This table audits which container types are fully supported and what would be needed for others (WeakMap, Set, Proxy, custom).</t>
  </si>
  <si>
    <t xml:space="preserve">Container Type, Getter Support, Setter Support, Deleter Support, Status (Full/Partial/Commented/None), Effort to Complete, Potential Breaking Change Risk, Test Coverage Needed</t>
  </si>
  <si>
    <t xml:space="preserve">Path Syntax &amp; Parsing Edge-Case Coverage</t>
  </si>
  <si>
    <t xml:space="preserve">split-path/ is critical but regex-based and fragile on quoted/nested brackets/escapes. Catalog tested vs. untested cases to prioritize parser hardening.</t>
  </si>
  <si>
    <t xml:space="preserve">Path Example, Expected Subpaths, Current Behavior, Passes All Demos?, Severity of Failure, Proposed Fix (regex tweak / switch to parser lib / manual),</t>
  </si>
  <si>
    <t xml:space="preserve">Usability, DX &amp; Documentation</t>
  </si>
  <si>
    <t xml:space="preserve">Method Parameter Patterns &amp; Consistency Audit</t>
  </si>
  <si>
    <t xml:space="preserve">All methods use $params + options object, but some accept variadic args or have unique signatures (e.g. compand values:true flag). Auditing helps enforce stricter uniformity.</t>
  </si>
  <si>
    <t xml:space="preserve">Method, Required Params, Optional Params, Options Shape, Consistent $ Naming?, Variadic Allowed?, Documented Fully?, Suggestion</t>
  </si>
  <si>
    <t xml:space="preserve">Medium</t>
  </si>
  <si>
    <t xml:space="preserve">Demonstrament Coverage Heatmap</t>
  </si>
  <si>
    <t xml:space="preserve">demonstrament/ uses pm2 + rigid pass true/false blocks. Map which methods have strong/weak live examples (especially pathMatch, deep nesting, Map usage).</t>
  </si>
  <si>
    <t xml:space="preserve">Method, Static Demo Exists?, Bound Instance Demo?, Edge Case (null/circular/large) Demo?, pathMatch Demo?, Coverage Score (High/Med/Low), Next Demo to Add</t>
  </si>
  <si>
    <t xml:space="preserve">Documentation Completeness Checklist per Method</t>
  </si>
  <si>
    <t xml:space="preserve">document/methods/*.md must have standardized API + demo blocks. Quick audit for missing sections or outdated examples.</t>
  </si>
  <si>
    <t xml:space="preserve">.md File, Has API Section?, Has Demonstrative Test Blocks?, All Assertions End with pass true/false?, References Correct Folder Paths?, Last Updated, Action Needed</t>
  </si>
  <si>
    <t xml:space="preserve">Performance &amp; Benchmarking</t>
  </si>
  <si>
    <t xml:space="preserve">Micro-Benchmark Scenarios &amp; Results Template</t>
  </si>
  <si>
    <t xml:space="preserve">Current perf notes are qualitative. A table outlining key scenarios (deep get, pathMatch on 10k prop obj, compand on circular structure) with columns for before/after proposed fixes (e.g. maxDepth guard, early-exit).</t>
  </si>
  <si>
    <t xml:space="preserve">Scenario, Input Size/Depth, Current Time (ms), After Fix Time (ms), Improvement %, Notes (e.g. stack usage)</t>
  </si>
  <si>
    <t xml:space="preserve">Hot Path Call Frequency Analysis</t>
  </si>
  <si>
    <t xml:space="preserve">From typical usage (pand family loops call get/set/compand repeatedly). Estimate call volume to prioritize caching/optimizations that won't break mutation semantics.</t>
  </si>
  <si>
    <t xml:space="preserve">Calling Method, Callee, Est. Calls per Invocation, Mutable Return?, Safe to Cache?, Proposed Optimization</t>
  </si>
  <si>
    <t xml:space="preserve">Future-Proofing &amp; Ecosystem Fit</t>
  </si>
  <si>
    <t xml:space="preserve">Modern JS Feature Utilization &amp; Opportunities</t>
  </si>
  <si>
    <t xml:space="preserve">Recourse uses classic ES patterns. Identify where newer syntax (??., ?. chaining, Object.groupBy, iterator helpers ES2025) could simplify code without breaking old envs.</t>
  </si>
  <si>
    <t xml:space="preserve">Feature (e.g. optional chaining), Current Workaround, Can Replace?, Lines Impacted, Demo Impact, Recommendation</t>
  </si>
  <si>
    <t xml:space="preserve">Potential New Methods Brainstorm</t>
  </si>
  <si>
    <t xml:space="preserve">Brainstorm additions that align with tensors + pathing (e.g. hasProperty deep check, merge deep with tensors, query/select paths like SQL-ish).</t>
  </si>
  <si>
    <t xml:space="preserve">Proposed Method Name, Purpose, Signature Sketch, Fits Tensor Model?, Overlaps Existing?, Demo Value, Priority</t>
  </si>
  <si>
    <t xml:space="preserve">Migration/Interop Guide with Similar Libs</t>
  </si>
  <si>
    <t xml:space="preserve">For users coming from Lodash/get, object-path, etc. Show direct mappings + where Recourse is better/worse.</t>
  </si>
  <si>
    <t xml:space="preserve">External Lib + Method, Recourse Equivalent, Differences (mutable vs immutable, Map support, etc.), Migration Note</t>
  </si>
  <si>
    <t xml:space="preserve">Low</t>
  </si>
  <si>
    <t xml:space="preserve">Category / Feature</t>
  </si>
  <si>
    <t xml:space="preserve">Exists in Recourse?</t>
  </si>
  <si>
    <t xml:space="preserve">Native JS Equivalent (2025+)</t>
  </si>
  <si>
    <t xml:space="preserve">Common in Comparable Libs?</t>
  </si>
  <si>
    <t xml:space="preserve">Proposed Addition (if gap)</t>
  </si>
  <si>
    <t xml:space="preserve">Demo Impact if Added</t>
  </si>
  <si>
    <t xml:space="preserve">Notes / Priority</t>
  </si>
  <si>
    <t xml:space="preserve">Deep get (by dot/bracket path string)</t>
  </si>
  <si>
    <t xml:space="preserve">Yes (get / getProperty)</t>
  </si>
  <si>
    <t xml:space="preserve">Optional chaining ?. (limited)</t>
  </si>
  <si>
    <t xml:space="preserve">Lodash.get, Ramda.path, object-path.get</t>
  </si>
  <si>
    <t xml:space="preserve">— (already strong)</t>
  </si>
  <si>
    <t xml:space="preserve">None</t>
  </si>
  <si>
    <t xml:space="preserve">Supports Map keys; tensors handle polymorphism. High coverage.</t>
  </si>
  <si>
    <t xml:space="preserve">Deep get with default/fallback</t>
  </si>
  <si>
    <t xml:space="preserve">No</t>
  </si>
  <si>
    <t xml:space="preserve">No direct (use ?? after ?.)</t>
  </si>
  <si>
    <t xml:space="preserve">Lodash.get(obj, path, default), Ramda.pathOr</t>
  </si>
  <si>
    <t xml:space="preserve">Add $default to options in get</t>
  </si>
  <si>
    <t xml:space="preserve">None (opt-in)</t>
  </si>
  <si>
    <t xml:space="preserve">Very common request; easy opt-in. High priority.</t>
  </si>
  <si>
    <t xml:space="preserve">Deep set (mutate nested, auto-create intermediates)</t>
  </si>
  <si>
    <t xml:space="preserve">Yes (set / setProperty)</t>
  </si>
  <si>
    <t xml:space="preserve">Lodash.set, object-path.set</t>
  </si>
  <si>
    <t xml:space="preserve">—</t>
  </si>
  <si>
    <t xml:space="preserve">Infers array/object intermediates from next index/key; good but could document better.</t>
  </si>
  <si>
    <t xml:space="preserve">Deep set immutable (return new structure)</t>
  </si>
  <si>
    <t xml:space="preserve">structuredClone + manual</t>
  </si>
  <si>
    <t xml:space="preserve">Ramda.assocPath (immutable), lodash.setWith</t>
  </si>
  <si>
    <t xml:space="preserve">New method setImmutable or {immutable: true} option</t>
  </si>
  <si>
    <t xml:space="preserve">Low (new demos)</t>
  </si>
  <si>
    <t xml:space="preserve">Recourse is mutable-core; immutable variant would be major. Medium priority.</t>
  </si>
  <si>
    <t xml:space="preserve">Deep delete (remove nested property)</t>
  </si>
  <si>
    <t xml:space="preserve">Yes (delete / deleteProperty)</t>
  </si>
  <si>
    <t xml:space="preserve">delete operator (shallow only)</t>
  </si>
  <si>
    <t xml:space="preserve">Lodash.unset, object-path.del</t>
  </si>
  <si>
    <t xml:space="preserve">Works with tensors; pathMatch variant collects deleted paths. Solid.</t>
  </si>
  <si>
    <t xml:space="preserve">Deep has / exists check</t>
  </si>
  <si>
    <t xml:space="preserve">No (use get !== undefined)</t>
  </si>
  <si>
    <t xml:space="preserve">Lodash.has, Ramda.hasPath</t>
  </si>
  <si>
    <t xml:space="preserve">New has method (has($target, $path, $options))</t>
  </si>
  <si>
    <t xml:space="preserve">Simple tensor-based traversal; would fit perfectly. High priority.</t>
  </si>
  <si>
    <t xml:space="preserve">Deep merge / assign deep</t>
  </si>
  <si>
    <t xml:space="preserve">Partial (assign, assignConcat)</t>
  </si>
  <si>
    <t xml:space="preserve">Object.assign (shallow)</t>
  </si>
  <si>
    <t xml:space="preserve">Lodash.merge, Ramda.mergeDeep</t>
  </si>
  <si>
    <t xml:space="preserve">Enhance assign with {deep: true} or new mergeDeep</t>
  </si>
  <si>
    <t xml:space="preserve">Low (extend demos)</t>
  </si>
  <si>
    <t xml:space="preserve">assign is shallow; concat variant for arrays. Deep merge common expectation. Medium-High.</t>
  </si>
  <si>
    <t xml:space="preserve">Flatten object to path-value pairs</t>
  </si>
  <si>
    <t xml:space="preserve">Yes (compand with values: true)</t>
  </si>
  <si>
    <t xml:space="preserve">dot-object.dot, lodash.flatten (arrays)</t>
  </si>
  <si>
    <t xml:space="preserve">compand is powerful (supports Map/Array); values flag toggles keys vs pairs. Excellent.</t>
  </si>
  <si>
    <t xml:space="preserve">Expand / unflatten from flat paths</t>
  </si>
  <si>
    <t xml:space="preserve">Yes (expand)</t>
  </si>
  <si>
    <t xml:space="preserve">dot-object.object</t>
  </si>
  <si>
    <t xml:space="preserve">expand nests values along path; pairs well with compand. Unique strength.</t>
  </si>
  <si>
    <t xml:space="preserve">Project / pick deep properties</t>
  </si>
  <si>
    <t xml:space="preserve">Yes (impand)</t>
  </si>
  <si>
    <t xml:space="preserve">Lodash.pick (shallow), Ramda.pick</t>
  </si>
  <si>
    <t xml:space="preserve">impand projects single path or function across structure. Innovative.</t>
  </si>
  <si>
    <t xml:space="preserve">Reconstruct object from flat path map</t>
  </si>
  <si>
    <t xml:space="preserve">Yes (decompand)</t>
  </si>
  <si>
    <t xml:space="preserve">— (custom via set loops)</t>
  </si>
  <si>
    <t xml:space="preserve">decompand builds nested from flat entries. Very useful for form data/JSON transforms.</t>
  </si>
  <si>
    <t xml:space="preserve">Wildcard / pattern matching in paths</t>
  </si>
  <si>
    <t xml:space="preserve">Yes (pathMatch: true in get/set/delete)</t>
  </si>
  <si>
    <t xml:space="preserve">No direct (some use minimatch libs)</t>
  </si>
  <si>
    <t xml:space="preserve">— (already via outmatch)</t>
  </si>
  <si>
    <t xml:space="preserve">Uses outmatch for . separator; collects matching [path, value] pairs. Strong differentiator. High value.</t>
  </si>
  <si>
    <t xml:space="preserve">Deep keys / values / entries</t>
  </si>
  <si>
    <t xml:space="preserve">Yes (keys, values, entries, entities)</t>
  </si>
  <si>
    <t xml:space="preserve">Object.keys/values/entries (shallow)</t>
  </si>
  <si>
    <t xml:space="preserve">Lodash.keysDeep variants (community)</t>
  </si>
  <si>
    <t xml:space="preserve">entities gives recursive entries; very complete.</t>
  </si>
  <si>
    <t xml:space="preserve">Deep clone / structured clone</t>
  </si>
  <si>
    <t xml:space="preserve">structuredClone (modern browsers/Node)</t>
  </si>
  <si>
    <t xml:space="preserve">Lodash.cloneDeep</t>
  </si>
  <si>
    <t xml:space="preserve">New cloneDeep using tensors (optional)</t>
  </si>
  <si>
    <t xml:space="preserve">New demos</t>
  </si>
  <si>
    <t xml:space="preserve">Could leverage compand + decompand roundtrip. Medium priority.</t>
  </si>
  <si>
    <t xml:space="preserve">Deep equality / isEqual</t>
  </si>
  <si>
    <t xml:space="preserve">No (JSON.stringify hacky)</t>
  </si>
  <si>
    <t xml:space="preserve">Lodash.isEqual, Ramda.equals</t>
  </si>
  <si>
    <t xml:space="preserve">New isEqual with tensor traversal</t>
  </si>
  <si>
    <t xml:space="preserve">Useful companion; could ignore prototypes or handle Maps. Medium.</t>
  </si>
  <si>
    <t xml:space="preserve">Freeze / seal deep</t>
  </si>
  <si>
    <t xml:space="preserve">Yes (full deep/recursive support via recursion + maxDepth guard + cycle protection).</t>
  </si>
  <si>
    <t xml:space="preserve">Object.freeze/seal (shallow)</t>
  </si>
  <si>
    <t xml:space="preserve">No common deep impl</t>
  </si>
  <si>
    <t xml:space="preserve">None negative — new deep examples added; existing shallow ones unchanged.</t>
  </si>
  <si>
    <t xml:space="preserve">Medium (already works deeply; value in better docs/tests for discoverability). Strong differentiator vs. native JS (deep vs. shallow).</t>
  </si>
  <si>
    <t xml:space="preserve">Get / set own property descriptors deep</t>
  </si>
  <si>
    <t xml:space="preserve">Yes (recursive in defineProperties/defineProperty and getOwnPropertyDescriptors with maxDepth/path).</t>
  </si>
  <si>
    <t xml:space="preserve">Object.getOwnPropertyDescriptors</t>
  </si>
  <si>
    <t xml:space="preserve">Recursion for nested descriptors; set side tree-based, get side path-optional. Medium value for introspection.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</si>
</sst>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68A1A"/>
        <bgColor rgb="FF808000"/>
      </patternFill>
    </fill>
    <fill>
      <patternFill patternType="solid">
        <fgColor rgb="FFBE480A"/>
        <bgColor rgb="FF993366"/>
      </patternFill>
    </fill>
    <fill>
      <patternFill patternType="solid">
        <fgColor rgb="FF55215B"/>
        <bgColor rgb="FF6600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BE480A"/>
      <rgbColor rgb="FF993366"/>
      <rgbColor rgb="FF333399"/>
      <rgbColor rgb="FF5521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2"/>
    <col collapsed="false" customWidth="false" hidden="false" outlineLevel="0" max="2" min="2" style="1" width="11.53"/>
    <col collapsed="false" customWidth="true" hidden="false" outlineLevel="0" max="3" min="3" style="0" width="29.98"/>
    <col collapsed="false" customWidth="true" hidden="false" outlineLevel="0" max="4" min="4" style="0" width="43.82"/>
  </cols>
  <sheetData>
    <row r="2" customFormat="false" ht="12.8" hidden="false" customHeight="false" outlineLevel="0" collapsed="false">
      <c r="A2" s="1" t="s">
        <v>0</v>
      </c>
      <c r="B2" s="2" t="s">
        <v>1</v>
      </c>
    </row>
    <row r="3" customFormat="false" ht="12.8" hidden="false" customHeight="false" outlineLevel="0" collapsed="false">
      <c r="A3" s="1" t="str">
        <f aca="false">_xlfn.CONCAT(A2, "ID")</f>
        <v>INSTRID</v>
      </c>
      <c r="B3" s="1" t="s">
        <v>2</v>
      </c>
      <c r="C3" s="2"/>
    </row>
    <row r="4" customFormat="false" ht="12.8" hidden="false" customHeight="false" outlineLevel="0" collapsed="false">
      <c r="A4" s="1" t="s">
        <v>3</v>
      </c>
      <c r="B4" s="1" t="s">
        <v>4</v>
      </c>
      <c r="C4" s="2" t="s">
        <v>5</v>
      </c>
      <c r="D4" s="2" t="s">
        <v>6</v>
      </c>
    </row>
    <row r="5" customFormat="false" ht="12.8" hidden="false" customHeight="false" outlineLevel="0" collapsed="false">
      <c r="A5" s="1" t="n">
        <v>0</v>
      </c>
      <c r="B5" s="1" t="str">
        <f aca="false">_xlfn.CONCAT($A$3, ".", $A5)</f>
        <v>INSTRID.0</v>
      </c>
      <c r="C5" s="2" t="s">
        <v>7</v>
      </c>
      <c r="D5" s="3" t="s">
        <v>8</v>
      </c>
    </row>
    <row r="6" customFormat="false" ht="12.8" hidden="false" customHeight="false" outlineLevel="0" collapsed="false">
      <c r="A6" s="1" t="n">
        <v>1</v>
      </c>
      <c r="B6" s="1" t="str">
        <f aca="false">_xlfn.CONCAT($A$3, ".", $A6)</f>
        <v>INSTRID.1</v>
      </c>
      <c r="C6" s="2" t="s">
        <v>9</v>
      </c>
      <c r="D6" s="3" t="s">
        <v>10</v>
      </c>
    </row>
    <row r="7" customFormat="false" ht="12.8" hidden="false" customHeight="false" outlineLevel="0" collapsed="false">
      <c r="A7" s="1" t="n">
        <v>2</v>
      </c>
      <c r="B7" s="1" t="str">
        <f aca="false">_xlfn.CONCAT($A$3, ".", $A7)</f>
        <v>INSTRID.2</v>
      </c>
      <c r="C7" s="2" t="s">
        <v>11</v>
      </c>
      <c r="D7" s="4" t="s">
        <v>12</v>
      </c>
    </row>
    <row r="8" customFormat="false" ht="12.8" hidden="false" customHeight="false" outlineLevel="0" collapsed="false">
      <c r="A8" s="1" t="n">
        <v>3</v>
      </c>
      <c r="B8" s="1" t="str">
        <f aca="false">_xlfn.CONCAT($A$3, ".", $A8)</f>
        <v>INSTRID.3</v>
      </c>
      <c r="C8" s="0" t="s">
        <v>13</v>
      </c>
      <c r="D8" s="4" t="s">
        <v>14</v>
      </c>
    </row>
    <row r="9" customFormat="false" ht="12.8" hidden="false" customHeight="false" outlineLevel="0" collapsed="false">
      <c r="A9" s="1" t="n">
        <v>4</v>
      </c>
      <c r="B9" s="1" t="str">
        <f aca="false">_xlfn.CONCAT($A$3, ".", $A9)</f>
        <v>INSTRID.4</v>
      </c>
      <c r="C9" s="0" t="s">
        <v>15</v>
      </c>
      <c r="D9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5" width="11.53"/>
  </cols>
  <sheetData>
    <row r="1" customFormat="false" ht="12.8" hidden="false" customHeight="false" outlineLevel="0" collapsed="false">
      <c r="A1" s="5" t="s">
        <v>17</v>
      </c>
      <c r="B1" s="5" t="s">
        <v>18</v>
      </c>
    </row>
    <row r="2" customFormat="false" ht="12.8" hidden="false" customHeight="false" outlineLevel="0" collapsed="false">
      <c r="A2" s="5" t="str">
        <f aca="false">_xlfn.CONCAT($A$1, ".", "A")</f>
        <v>JECT.A</v>
      </c>
      <c r="B2" s="5" t="s">
        <v>19</v>
      </c>
    </row>
    <row r="3" customFormat="false" ht="12.8" hidden="false" customHeight="false" outlineLevel="0" collapsed="false">
      <c r="A3" s="5" t="s">
        <v>20</v>
      </c>
      <c r="B3" s="6" t="s">
        <v>21</v>
      </c>
      <c r="C3" s="6" t="s">
        <v>22</v>
      </c>
      <c r="D3" s="6" t="s">
        <v>23</v>
      </c>
      <c r="E3" s="6" t="s">
        <v>24</v>
      </c>
    </row>
    <row r="4" customFormat="false" ht="12.8" hidden="false" customHeight="false" outlineLevel="0" collapsed="false">
      <c r="A4" s="5" t="str">
        <f aca="false">_xlfn.CONCAT($A$2, ".", "A")</f>
        <v>JECT.A.A</v>
      </c>
      <c r="B4" s="5" t="s">
        <v>25</v>
      </c>
      <c r="C4" s="5" t="s">
        <v>26</v>
      </c>
      <c r="D4" s="5" t="s">
        <v>27</v>
      </c>
      <c r="E4" s="5" t="s">
        <v>28</v>
      </c>
    </row>
    <row r="5" customFormat="false" ht="12.8" hidden="false" customHeight="false" outlineLevel="0" collapsed="false">
      <c r="A5" s="5" t="str">
        <f aca="false">_xlfn.CONCAT($A$2, ".",,"B")</f>
        <v>JECT.A.B</v>
      </c>
      <c r="B5" s="5" t="s">
        <v>29</v>
      </c>
      <c r="C5" s="5" t="s">
        <v>30</v>
      </c>
      <c r="D5" s="5" t="s">
        <v>31</v>
      </c>
      <c r="E5" s="5" t="s">
        <v>28</v>
      </c>
    </row>
    <row r="6" customFormat="false" ht="12.8" hidden="false" customHeight="false" outlineLevel="0" collapsed="false">
      <c r="A6" s="5" t="str">
        <f aca="false">_xlfn.CONCAT($A$2, ".",, "C")</f>
        <v>JECT.A.C</v>
      </c>
      <c r="B6" s="5" t="s">
        <v>32</v>
      </c>
      <c r="C6" s="5" t="s">
        <v>33</v>
      </c>
      <c r="D6" s="5" t="s">
        <v>34</v>
      </c>
      <c r="E6" s="5" t="s">
        <v>28</v>
      </c>
    </row>
    <row r="8" customFormat="false" ht="12.8" hidden="false" customHeight="false" outlineLevel="0" collapsed="false">
      <c r="A8" s="5" t="str">
        <f aca="false">_xlfn.CONCAT($A$1, ".", "B")</f>
        <v>JECT.B</v>
      </c>
      <c r="B8" s="5" t="s">
        <v>35</v>
      </c>
    </row>
    <row r="9" customFormat="false" ht="12.8" hidden="false" customHeight="false" outlineLevel="0" collapsed="false">
      <c r="A9" s="5" t="s">
        <v>20</v>
      </c>
      <c r="B9" s="6" t="s">
        <v>21</v>
      </c>
      <c r="C9" s="6" t="s">
        <v>22</v>
      </c>
      <c r="D9" s="6" t="s">
        <v>23</v>
      </c>
      <c r="E9" s="6" t="s">
        <v>24</v>
      </c>
    </row>
    <row r="10" customFormat="false" ht="12.8" hidden="false" customHeight="false" outlineLevel="0" collapsed="false">
      <c r="A10" s="5" t="str">
        <f aca="false">_xlfn.CONCAT($A$8, ".", "A")</f>
        <v>JECT.B.A</v>
      </c>
      <c r="B10" s="5" t="s">
        <v>36</v>
      </c>
      <c r="C10" s="5" t="s">
        <v>37</v>
      </c>
      <c r="D10" s="5" t="s">
        <v>38</v>
      </c>
      <c r="E10" s="5" t="s">
        <v>39</v>
      </c>
    </row>
    <row r="11" customFormat="false" ht="12.8" hidden="false" customHeight="false" outlineLevel="0" collapsed="false">
      <c r="A11" s="5" t="str">
        <f aca="false">_xlfn.CONCAT($A$8, ".", "B")</f>
        <v>JECT.B.B</v>
      </c>
      <c r="B11" s="5" t="s">
        <v>40</v>
      </c>
      <c r="C11" s="5" t="s">
        <v>41</v>
      </c>
      <c r="D11" s="5" t="s">
        <v>42</v>
      </c>
      <c r="E11" s="5" t="s">
        <v>39</v>
      </c>
    </row>
    <row r="12" customFormat="false" ht="12.8" hidden="false" customHeight="false" outlineLevel="0" collapsed="false">
      <c r="A12" s="5" t="str">
        <f aca="false">_xlfn.CONCAT($A$8, ".", "C")</f>
        <v>JECT.B.C</v>
      </c>
      <c r="B12" s="5" t="s">
        <v>43</v>
      </c>
      <c r="C12" s="5" t="s">
        <v>44</v>
      </c>
      <c r="D12" s="5" t="s">
        <v>45</v>
      </c>
      <c r="E12" s="5" t="s">
        <v>39</v>
      </c>
    </row>
    <row r="14" customFormat="false" ht="12.8" hidden="false" customHeight="false" outlineLevel="0" collapsed="false">
      <c r="A14" s="5" t="str">
        <f aca="false">_xlfn.CONCAT($A$1, ".", "C")</f>
        <v>JECT.C</v>
      </c>
      <c r="B14" s="5" t="s">
        <v>46</v>
      </c>
    </row>
    <row r="15" customFormat="false" ht="12.8" hidden="false" customHeight="false" outlineLevel="0" collapsed="false">
      <c r="A15" s="5" t="s">
        <v>20</v>
      </c>
      <c r="B15" s="6" t="s">
        <v>21</v>
      </c>
      <c r="C15" s="6" t="s">
        <v>22</v>
      </c>
      <c r="D15" s="6" t="s">
        <v>23</v>
      </c>
      <c r="E15" s="6" t="s">
        <v>24</v>
      </c>
    </row>
    <row r="16" customFormat="false" ht="12.8" hidden="false" customHeight="false" outlineLevel="0" collapsed="false">
      <c r="A16" s="5" t="str">
        <f aca="false">_xlfn.CONCAT($A$14, ".", "A")</f>
        <v>JECT.C.A</v>
      </c>
      <c r="B16" s="5" t="s">
        <v>47</v>
      </c>
      <c r="C16" s="5" t="s">
        <v>48</v>
      </c>
      <c r="D16" s="5" t="s">
        <v>49</v>
      </c>
      <c r="E16" s="5" t="s">
        <v>28</v>
      </c>
    </row>
    <row r="17" customFormat="false" ht="12.8" hidden="false" customHeight="false" outlineLevel="0" collapsed="false">
      <c r="A17" s="5" t="str">
        <f aca="false">_xlfn.CONCAT($A$14, ".", "B")</f>
        <v>JECT.C.B</v>
      </c>
      <c r="B17" s="5" t="s">
        <v>50</v>
      </c>
      <c r="C17" s="5" t="s">
        <v>51</v>
      </c>
      <c r="D17" s="5" t="s">
        <v>52</v>
      </c>
      <c r="E17" s="5" t="s">
        <v>39</v>
      </c>
    </row>
    <row r="19" customFormat="false" ht="12.8" hidden="false" customHeight="false" outlineLevel="0" collapsed="false">
      <c r="A19" s="5" t="str">
        <f aca="false">_xlfn.CONCAT($A$1, ".", "D")</f>
        <v>JECT.D</v>
      </c>
      <c r="B19" s="5" t="s">
        <v>53</v>
      </c>
    </row>
    <row r="20" customFormat="false" ht="12.8" hidden="false" customHeight="false" outlineLevel="0" collapsed="false">
      <c r="A20" s="5" t="s">
        <v>20</v>
      </c>
      <c r="B20" s="6" t="s">
        <v>21</v>
      </c>
      <c r="C20" s="6" t="s">
        <v>22</v>
      </c>
      <c r="D20" s="6" t="s">
        <v>23</v>
      </c>
      <c r="E20" s="6" t="s">
        <v>24</v>
      </c>
    </row>
    <row r="21" customFormat="false" ht="12.8" hidden="false" customHeight="false" outlineLevel="0" collapsed="false">
      <c r="A21" s="5" t="str">
        <f aca="false">_xlfn.CONCAT($A$19, ".", "A")</f>
        <v>JECT.D.A</v>
      </c>
      <c r="B21" s="5" t="s">
        <v>54</v>
      </c>
      <c r="C21" s="5" t="s">
        <v>55</v>
      </c>
      <c r="D21" s="5" t="s">
        <v>56</v>
      </c>
      <c r="E21" s="5" t="s">
        <v>39</v>
      </c>
    </row>
    <row r="22" customFormat="false" ht="12.8" hidden="false" customHeight="false" outlineLevel="0" collapsed="false">
      <c r="A22" s="5" t="str">
        <f aca="false">_xlfn.CONCAT($A$19, ".", "B")</f>
        <v>JECT.D.B</v>
      </c>
      <c r="B22" s="5" t="s">
        <v>57</v>
      </c>
      <c r="C22" s="5" t="s">
        <v>58</v>
      </c>
      <c r="D22" s="5" t="s">
        <v>59</v>
      </c>
      <c r="E22" s="5" t="s">
        <v>39</v>
      </c>
    </row>
    <row r="23" customFormat="false" ht="12.8" hidden="false" customHeight="false" outlineLevel="0" collapsed="false">
      <c r="A23" s="5" t="str">
        <f aca="false">_xlfn.CONCAT($A$19, ".", "C")</f>
        <v>JECT.D.C</v>
      </c>
      <c r="B23" s="5" t="s">
        <v>60</v>
      </c>
      <c r="C23" s="5" t="s">
        <v>61</v>
      </c>
      <c r="D23" s="5" t="s">
        <v>62</v>
      </c>
      <c r="E23" s="5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8" activeCellId="0" sqref="C1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8" width="34.59"/>
  </cols>
  <sheetData>
    <row r="1" customFormat="false" ht="12.8" hidden="false" customHeight="false" outlineLevel="0" collapsed="false">
      <c r="A1" s="9" t="str">
        <f aca="false">JECT!$A$4</f>
        <v>JECT.A.A</v>
      </c>
      <c r="B1" s="5" t="str">
        <f aca="false">JECT!$B$4</f>
        <v>Current API Surface vs. Desired/Expected Deep-Access Features</v>
      </c>
      <c r="C1" s="5"/>
      <c r="D1" s="5"/>
      <c r="E1" s="5"/>
      <c r="F1" s="5"/>
      <c r="G1" s="5"/>
      <c r="H1" s="5"/>
    </row>
    <row r="2" s="12" customFormat="true" ht="35.05" hidden="false" customHeight="false" outlineLevel="0" collapsed="false">
      <c r="A2" s="10" t="s">
        <v>3</v>
      </c>
      <c r="B2" s="11" t="s">
        <v>64</v>
      </c>
      <c r="C2" s="11" t="s">
        <v>65</v>
      </c>
      <c r="D2" s="11" t="s">
        <v>66</v>
      </c>
      <c r="E2" s="11" t="s">
        <v>67</v>
      </c>
      <c r="F2" s="11" t="s">
        <v>68</v>
      </c>
      <c r="G2" s="11" t="s">
        <v>69</v>
      </c>
      <c r="H2" s="11" t="s">
        <v>70</v>
      </c>
    </row>
    <row r="3" customFormat="false" ht="12.8" hidden="false" customHeight="false" outlineLevel="0" collapsed="false">
      <c r="A3" s="9" t="str">
        <f aca="false">_xlfn.CONCAT(JECT!$A$4, ".", 0)</f>
        <v>JECT.A.A.0</v>
      </c>
      <c r="B3" s="5" t="s">
        <v>71</v>
      </c>
      <c r="C3" s="13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</row>
    <row r="4" customFormat="false" ht="12.8" hidden="false" customHeight="false" outlineLevel="0" collapsed="false">
      <c r="A4" s="9" t="str">
        <f aca="false">_xlfn.CONCAT(JECT!$A$4, ".", 1)</f>
        <v>JECT.A.A.1</v>
      </c>
      <c r="B4" s="5" t="s">
        <v>78</v>
      </c>
      <c r="C4" s="14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</row>
    <row r="5" customFormat="false" ht="12.8" hidden="false" customHeight="false" outlineLevel="0" collapsed="false">
      <c r="A5" s="9" t="str">
        <f aca="false">_xlfn.CONCAT(JECT!$A$4, ".", 2)</f>
        <v>JECT.A.A.2</v>
      </c>
      <c r="B5" s="5" t="s">
        <v>85</v>
      </c>
      <c r="C5" s="13" t="s">
        <v>86</v>
      </c>
      <c r="D5" s="5" t="s">
        <v>79</v>
      </c>
      <c r="E5" s="5" t="s">
        <v>87</v>
      </c>
      <c r="F5" s="5" t="s">
        <v>88</v>
      </c>
      <c r="G5" s="5" t="s">
        <v>76</v>
      </c>
      <c r="H5" s="5" t="s">
        <v>89</v>
      </c>
    </row>
    <row r="6" customFormat="false" ht="12.8" hidden="false" customHeight="false" outlineLevel="0" collapsed="false">
      <c r="A6" s="9" t="str">
        <f aca="false">_xlfn.CONCAT(JECT!$A$4, ".", 3)</f>
        <v>JECT.A.A.3</v>
      </c>
      <c r="B6" s="5" t="s">
        <v>90</v>
      </c>
      <c r="C6" s="14" t="s">
        <v>79</v>
      </c>
      <c r="D6" s="5" t="s">
        <v>91</v>
      </c>
      <c r="E6" s="5" t="s">
        <v>92</v>
      </c>
      <c r="F6" s="5" t="s">
        <v>93</v>
      </c>
      <c r="G6" s="5" t="s">
        <v>94</v>
      </c>
      <c r="H6" s="5" t="s">
        <v>95</v>
      </c>
    </row>
    <row r="7" customFormat="false" ht="12.8" hidden="false" customHeight="false" outlineLevel="0" collapsed="false">
      <c r="A7" s="9" t="str">
        <f aca="false">_xlfn.CONCAT(JECT!$A$4, ".", 4)</f>
        <v>JECT.A.A.4</v>
      </c>
      <c r="B7" s="5" t="s">
        <v>96</v>
      </c>
      <c r="C7" s="13" t="s">
        <v>97</v>
      </c>
      <c r="D7" s="5" t="s">
        <v>98</v>
      </c>
      <c r="E7" s="5" t="s">
        <v>99</v>
      </c>
      <c r="F7" s="5" t="s">
        <v>88</v>
      </c>
      <c r="G7" s="5" t="s">
        <v>76</v>
      </c>
      <c r="H7" s="5" t="s">
        <v>100</v>
      </c>
    </row>
    <row r="8" customFormat="false" ht="12.8" hidden="false" customHeight="false" outlineLevel="0" collapsed="false">
      <c r="A8" s="9" t="str">
        <f aca="false">_xlfn.CONCAT(JECT!$A$4, ".", 5)</f>
        <v>JECT.A.A.5</v>
      </c>
      <c r="B8" s="5" t="s">
        <v>101</v>
      </c>
      <c r="C8" s="14" t="s">
        <v>102</v>
      </c>
      <c r="D8" s="5" t="s">
        <v>79</v>
      </c>
      <c r="E8" s="5" t="s">
        <v>103</v>
      </c>
      <c r="F8" s="5" t="s">
        <v>104</v>
      </c>
      <c r="G8" s="5" t="s">
        <v>76</v>
      </c>
      <c r="H8" s="5" t="s">
        <v>105</v>
      </c>
    </row>
    <row r="9" customFormat="false" ht="12.8" hidden="false" customHeight="false" outlineLevel="0" collapsed="false">
      <c r="A9" s="9" t="str">
        <f aca="false">_xlfn.CONCAT(JECT!$A$4, ".", 6)</f>
        <v>JECT.A.A.6</v>
      </c>
      <c r="B9" s="5" t="s">
        <v>106</v>
      </c>
      <c r="C9" s="15" t="s">
        <v>107</v>
      </c>
      <c r="D9" s="5" t="s">
        <v>108</v>
      </c>
      <c r="E9" s="5" t="s">
        <v>109</v>
      </c>
      <c r="F9" s="5" t="s">
        <v>110</v>
      </c>
      <c r="G9" s="5" t="s">
        <v>111</v>
      </c>
      <c r="H9" s="5" t="s">
        <v>112</v>
      </c>
    </row>
    <row r="10" customFormat="false" ht="12.8" hidden="false" customHeight="false" outlineLevel="0" collapsed="false">
      <c r="A10" s="9" t="str">
        <f aca="false">_xlfn.CONCAT(JECT!$A$4, ".", 7)</f>
        <v>JECT.A.A.7</v>
      </c>
      <c r="B10" s="5" t="s">
        <v>113</v>
      </c>
      <c r="C10" s="14" t="s">
        <v>114</v>
      </c>
      <c r="D10" s="5" t="s">
        <v>79</v>
      </c>
      <c r="E10" s="5" t="s">
        <v>115</v>
      </c>
      <c r="F10" s="5" t="s">
        <v>88</v>
      </c>
      <c r="G10" s="5" t="s">
        <v>76</v>
      </c>
      <c r="H10" s="5" t="s">
        <v>116</v>
      </c>
    </row>
    <row r="11" customFormat="false" ht="12.8" hidden="false" customHeight="false" outlineLevel="0" collapsed="false">
      <c r="A11" s="9" t="str">
        <f aca="false">_xlfn.CONCAT(JECT!$A$4, ".", 8)</f>
        <v>JECT.A.A.8</v>
      </c>
      <c r="B11" s="5" t="s">
        <v>117</v>
      </c>
      <c r="C11" s="14" t="s">
        <v>118</v>
      </c>
      <c r="D11" s="5" t="s">
        <v>79</v>
      </c>
      <c r="E11" s="5" t="s">
        <v>119</v>
      </c>
      <c r="F11" s="5" t="s">
        <v>88</v>
      </c>
      <c r="G11" s="5" t="s">
        <v>76</v>
      </c>
      <c r="H11" s="5" t="s">
        <v>120</v>
      </c>
    </row>
    <row r="12" customFormat="false" ht="12.8" hidden="false" customHeight="false" outlineLevel="0" collapsed="false">
      <c r="A12" s="9" t="str">
        <f aca="false">_xlfn.CONCAT(JECT!$A$4, ".", 9)</f>
        <v>JECT.A.A.9</v>
      </c>
      <c r="B12" s="5" t="s">
        <v>121</v>
      </c>
      <c r="C12" s="14" t="s">
        <v>122</v>
      </c>
      <c r="D12" s="5" t="s">
        <v>79</v>
      </c>
      <c r="E12" s="5" t="s">
        <v>123</v>
      </c>
      <c r="F12" s="5" t="s">
        <v>88</v>
      </c>
      <c r="G12" s="5" t="s">
        <v>76</v>
      </c>
      <c r="H12" s="5" t="s">
        <v>124</v>
      </c>
    </row>
    <row r="13" customFormat="false" ht="12.8" hidden="false" customHeight="false" outlineLevel="0" collapsed="false">
      <c r="A13" s="9" t="str">
        <f aca="false">_xlfn.CONCAT(JECT!$A$4, ".", 10)</f>
        <v>JECT.A.A.10</v>
      </c>
      <c r="B13" s="5" t="s">
        <v>125</v>
      </c>
      <c r="C13" s="14" t="s">
        <v>126</v>
      </c>
      <c r="D13" s="5" t="s">
        <v>79</v>
      </c>
      <c r="E13" s="5" t="s">
        <v>127</v>
      </c>
      <c r="F13" s="5" t="s">
        <v>88</v>
      </c>
      <c r="G13" s="5" t="s">
        <v>76</v>
      </c>
      <c r="H13" s="5" t="s">
        <v>128</v>
      </c>
    </row>
    <row r="14" customFormat="false" ht="12.8" hidden="false" customHeight="false" outlineLevel="0" collapsed="false">
      <c r="A14" s="9" t="str">
        <f aca="false">_xlfn.CONCAT(JECT!$A$4, ".", 11)</f>
        <v>JECT.A.A.11</v>
      </c>
      <c r="B14" s="5" t="s">
        <v>129</v>
      </c>
      <c r="C14" s="14" t="s">
        <v>130</v>
      </c>
      <c r="D14" s="5" t="s">
        <v>79</v>
      </c>
      <c r="E14" s="5" t="s">
        <v>131</v>
      </c>
      <c r="F14" s="5" t="s">
        <v>132</v>
      </c>
      <c r="G14" s="5" t="s">
        <v>76</v>
      </c>
      <c r="H14" s="5" t="s">
        <v>133</v>
      </c>
    </row>
    <row r="15" customFormat="false" ht="12.8" hidden="false" customHeight="false" outlineLevel="0" collapsed="false">
      <c r="A15" s="9" t="str">
        <f aca="false">_xlfn.CONCAT(JECT!$A$4, ".", 12)</f>
        <v>JECT.A.A.12</v>
      </c>
      <c r="B15" s="5" t="s">
        <v>134</v>
      </c>
      <c r="C15" s="13" t="s">
        <v>135</v>
      </c>
      <c r="D15" s="5" t="s">
        <v>136</v>
      </c>
      <c r="E15" s="5" t="s">
        <v>137</v>
      </c>
      <c r="F15" s="5" t="s">
        <v>88</v>
      </c>
      <c r="G15" s="5" t="s">
        <v>76</v>
      </c>
      <c r="H15" s="5" t="s">
        <v>138</v>
      </c>
    </row>
    <row r="16" customFormat="false" ht="12.8" hidden="false" customHeight="false" outlineLevel="0" collapsed="false">
      <c r="A16" s="9" t="str">
        <f aca="false">_xlfn.CONCAT(JECT!$A$4, ".", 13)</f>
        <v>JECT.A.A.13</v>
      </c>
      <c r="B16" s="5" t="s">
        <v>139</v>
      </c>
      <c r="C16" s="14" t="s">
        <v>79</v>
      </c>
      <c r="D16" s="5" t="s">
        <v>140</v>
      </c>
      <c r="E16" s="5" t="s">
        <v>141</v>
      </c>
      <c r="F16" s="5" t="s">
        <v>142</v>
      </c>
      <c r="G16" s="5" t="s">
        <v>143</v>
      </c>
      <c r="H16" s="5" t="s">
        <v>144</v>
      </c>
    </row>
    <row r="17" customFormat="false" ht="12.8" hidden="false" customHeight="false" outlineLevel="0" collapsed="false">
      <c r="A17" s="9" t="str">
        <f aca="false">_xlfn.CONCAT(JECT!$A$4, ".", 14)</f>
        <v>JECT.A.A.14</v>
      </c>
      <c r="B17" s="5" t="s">
        <v>145</v>
      </c>
      <c r="C17" s="14" t="s">
        <v>79</v>
      </c>
      <c r="D17" s="5" t="s">
        <v>146</v>
      </c>
      <c r="E17" s="5" t="s">
        <v>147</v>
      </c>
      <c r="F17" s="5" t="s">
        <v>148</v>
      </c>
      <c r="G17" s="5" t="s">
        <v>143</v>
      </c>
      <c r="H17" s="5" t="s">
        <v>149</v>
      </c>
    </row>
    <row r="18" customFormat="false" ht="12.8" hidden="false" customHeight="false" outlineLevel="0" collapsed="false">
      <c r="A18" s="9" t="str">
        <f aca="false">_xlfn.CONCAT(JECT!$A$4, ".", 15)</f>
        <v>JECT.A.A.15</v>
      </c>
      <c r="B18" s="5" t="s">
        <v>150</v>
      </c>
      <c r="C18" s="13" t="s">
        <v>151</v>
      </c>
      <c r="D18" s="5" t="s">
        <v>152</v>
      </c>
      <c r="E18" s="5" t="s">
        <v>153</v>
      </c>
      <c r="F18" s="5" t="s">
        <v>88</v>
      </c>
      <c r="G18" s="5" t="s">
        <v>154</v>
      </c>
      <c r="H18" s="5" t="s">
        <v>155</v>
      </c>
    </row>
    <row r="19" customFormat="false" ht="12.8" hidden="false" customHeight="false" outlineLevel="0" collapsed="false">
      <c r="A19" s="9" t="str">
        <f aca="false">_xlfn.CONCAT(JECT!$A$4, ".", 16)</f>
        <v>JECT.A.A.16</v>
      </c>
      <c r="B19" s="5" t="s">
        <v>156</v>
      </c>
      <c r="C19" s="13" t="s">
        <v>157</v>
      </c>
      <c r="D19" s="5" t="s">
        <v>158</v>
      </c>
      <c r="E19" s="5" t="s">
        <v>79</v>
      </c>
      <c r="F19" s="5" t="s">
        <v>88</v>
      </c>
      <c r="G19" s="5" t="s">
        <v>76</v>
      </c>
      <c r="H19" s="5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2026-02-26T12:34:31Z</dcterms:created>
  <dc:creator/>
  <dc:description/>
  <dc:language>en-US</dc:language>
  <cp:lastModifiedBy/>
  <dcterms:modified xsi:type="dcterms:W3CDTF">2026-02-26T17:34:14Z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